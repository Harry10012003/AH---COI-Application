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squel.sharepoint.com/sites/EGV_EAV_PPC/Shared Documents/0. R_EGVCT/TGVCT/06. Automation &amp; Process Improvement/DEVELOPMENT DATA/MASTER COI+UPDATE FABRIC MATERIAL STATUS/"/>
    </mc:Choice>
  </mc:AlternateContent>
  <xr:revisionPtr revIDLastSave="145" documentId="8_{3D7696C1-AF2B-46E7-B454-2CBBC39AED47}" xr6:coauthVersionLast="47" xr6:coauthVersionMax="47" xr10:uidLastSave="{78AD6DC3-F175-490C-9AC4-424AFD8E8BC4}"/>
  <bookViews>
    <workbookView xWindow="-100" yWindow="-100" windowWidth="21467" windowHeight="11443" activeTab="1" xr2:uid="{0D254ADC-D916-4629-9A3E-8DDF7324325D}"/>
  </bookViews>
  <sheets>
    <sheet name="TAB 1" sheetId="2" r:id="rId1"/>
    <sheet name="Diễn giải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T4" i="1" s="1"/>
  <c r="P5" i="1"/>
  <c r="T5" i="1" s="1"/>
  <c r="P6" i="1"/>
  <c r="T6" i="1" s="1"/>
  <c r="P7" i="1"/>
  <c r="T7" i="1" s="1"/>
  <c r="P8" i="1"/>
  <c r="T8" i="1" s="1"/>
  <c r="P3" i="1"/>
  <c r="T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tc={E9F5AACA-0235-4D2F-A7BB-A69835B3CD88}</author>
    <author>tc={2B1A519E-6CC0-4493-9AC3-BF50EA595E55}</author>
    <author>tc={CB4FD48D-FDE0-4DE8-936D-74B14DBAD96A}</author>
    <author>tc={D7130DF0-B178-4D07-8D14-E76676AD5B5C}</author>
    <author>tc={32E37517-063B-4BBF-B443-5DABCCD6C67E}</author>
    <author>tc={B66825D0-D166-4877-973A-4822596ED3F7}</author>
    <author>tc={BE65A45B-51CD-48C8-A840-F593D7FB844B}</author>
  </authors>
  <commentList>
    <comment ref="D3" authorId="0" shapeId="0" xr:uid="{E9F5AACA-0235-4D2F-A7BB-A69835B3CD88}">
      <text>
        <t>[Threaded comment]
Your version of Excel allows you to read this threaded comment; however, any edits to it will get removed if the file is opened in a newer version of Excel. Learn more: https://go.microsoft.com/fwlink/?linkid=870924
Comment:
    Lấy trong PPO</t>
      </text>
    </comment>
    <comment ref="G3" authorId="1" shapeId="0" xr:uid="{2B1A519E-6CC0-4493-9AC3-BF50EA595E55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màu vải (source có trên GO phần Fabric BOM) =&gt; Check hình</t>
      </text>
    </comment>
    <comment ref="I3" authorId="2" shapeId="0" xr:uid="{CB4FD48D-FDE0-4DE8-936D-74B14DBAD96A}">
      <text>
        <t>[Threaded comment]
Your version of Excel allows you to read this threaded comment; however, any edits to it will get removed if the file is opened in a newer version of Excel. Learn more: https://go.microsoft.com/fwlink/?linkid=870924
Comment:
    Lấy trong GO. Mục đích là để chia vải tự động, cộng thêm % vải khi allocated</t>
      </text>
    </comment>
    <comment ref="M3" authorId="3" shapeId="0" xr:uid="{D7130DF0-B178-4D07-8D14-E76676AD5B5C}">
      <text>
        <t>[Threaded comment]
Your version of Excel allows you to read this threaded comment; however, any edits to it will get removed if the file is opened in a newer version of Excel. Learn more: https://go.microsoft.com/fwlink/?linkid=870924
Comment:
    Lấy trong GO</t>
      </text>
    </comment>
    <comment ref="N3" authorId="4" shapeId="0" xr:uid="{32E37517-063B-4BBF-B443-5DABCCD6C67E}">
      <text>
        <t>[Threaded comment]
Your version of Excel allows you to read this threaded comment; however, any edits to it will get removed if the file is opened in a newer version of Excel. Learn more: https://go.microsoft.com/fwlink/?linkid=870924
Comment:
    Lấy trong GO</t>
      </text>
    </comment>
    <comment ref="O3" authorId="5" shapeId="0" xr:uid="{B66825D0-D166-4877-973A-4822596ED3F7}">
      <text>
        <t>[Threaded comment]
Your version of Excel allows you to read this threaded comment; however, any edits to it will get removed if the file is opened in a newer version of Excel. Learn more: https://go.microsoft.com/fwlink/?linkid=870924
Comment:
    Lấy trên Cutting Forecast MEAS</t>
      </text>
    </comment>
    <comment ref="Q3" authorId="6" shapeId="0" xr:uid="{BE65A45B-51CD-48C8-A840-F593D7FB844B}">
      <text>
        <t>[Threaded comment]
Your version of Excel allows you to read this threaded comment; however, any edits to it will get removed if the file is opened in a newer version of Excel. Learn more: https://go.microsoft.com/fwlink/?linkid=870924
Comment:
    Lấy số lượng vải nhập kho. (Lấy trong kho/hoặc lấy từ source GAK,…)</t>
      </text>
    </comment>
  </commentList>
</comments>
</file>

<file path=xl/sharedStrings.xml><?xml version="1.0" encoding="utf-8"?>
<sst xmlns="http://schemas.openxmlformats.org/spreadsheetml/2006/main" count="95" uniqueCount="60">
  <si>
    <t>BRAND</t>
  </si>
  <si>
    <t>GO#</t>
  </si>
  <si>
    <t>PPO</t>
  </si>
  <si>
    <t>Type</t>
  </si>
  <si>
    <t>COLOR_CODE</t>
  </si>
  <si>
    <t>COLOR_DESC</t>
  </si>
  <si>
    <t>FABRIC COLOR (For piecing only)</t>
  </si>
  <si>
    <t>JOB ORDER NO</t>
  </si>
  <si>
    <t>- %</t>
  </si>
  <si>
    <t>+%</t>
  </si>
  <si>
    <t>Qty (pcs)</t>
  </si>
  <si>
    <t>BUYER_PO_DEL_DATE</t>
  </si>
  <si>
    <t>Marker YY</t>
  </si>
  <si>
    <t>PPO YY</t>
  </si>
  <si>
    <t>Actual YY#</t>
  </si>
  <si>
    <t>Required Q'ty (Yds)</t>
  </si>
  <si>
    <t>Rcv Q'ty (PPO)</t>
  </si>
  <si>
    <t>Allocate Q'ty (Yds)</t>
  </si>
  <si>
    <t>AH Allocate Q'ty (yds)</t>
  </si>
  <si>
    <t>Allocate %</t>
  </si>
  <si>
    <t>Remark</t>
  </si>
  <si>
    <t>GIORDANO</t>
  </si>
  <si>
    <t>S25V07971</t>
  </si>
  <si>
    <t>POUT25SB0007971A</t>
  </si>
  <si>
    <t>B</t>
  </si>
  <si>
    <t>1</t>
  </si>
  <si>
    <t>Signature White</t>
  </si>
  <si>
    <t>25V07971MN11</t>
  </si>
  <si>
    <t>POUT25SB0007971B</t>
  </si>
  <si>
    <t>25V07971ID20</t>
  </si>
  <si>
    <t>25V07971VN02</t>
  </si>
  <si>
    <t>25V07971KE44</t>
  </si>
  <si>
    <t>Est ngày vải về 4/10</t>
  </si>
  <si>
    <t>25V07971CN30</t>
  </si>
  <si>
    <t>25V07971VN01</t>
  </si>
  <si>
    <r>
      <t>Allocate Q'ty (Yds)-</t>
    </r>
    <r>
      <rPr>
        <b/>
        <sz val="11"/>
        <color rgb="FFFF0000"/>
        <rFont val="Aptos Narrow"/>
        <family val="2"/>
        <scheme val="minor"/>
      </rPr>
      <t>Cột R</t>
    </r>
  </si>
  <si>
    <t>Theo ngày xuất hàng sớm</t>
  </si>
  <si>
    <t>Chia vải tự động theo rule</t>
  </si>
  <si>
    <t>Theo số lượng nhỏ ưu tiên trước</t>
  </si>
  <si>
    <t>Chia theo % của fabric type nhỏ nhất (ví dụ: Code B 102% nhưng code R 101% thì phải chia vải ở 101% Max)</t>
  </si>
  <si>
    <r>
      <t>Allocate Q'ty (Yds)-</t>
    </r>
    <r>
      <rPr>
        <b/>
        <sz val="11"/>
        <color rgb="FFFF0000"/>
        <rFont val="Aptos Narrow"/>
        <family val="2"/>
        <scheme val="minor"/>
      </rPr>
      <t>Cột S</t>
    </r>
  </si>
  <si>
    <t>Tạo thêm function cho AH tự update vào UI (hoặc Kiddy có giải pháp nào tốt hơn)</t>
  </si>
  <si>
    <t>A/H tự chia vải vì nhiều lý do</t>
  </si>
  <si>
    <t>Khi sync, vui lòng giữ lại tất cả những gì A/H đã update</t>
  </si>
  <si>
    <t>hệ thống không chia được</t>
  </si>
  <si>
    <r>
      <t>Allocated %-</t>
    </r>
    <r>
      <rPr>
        <b/>
        <sz val="11"/>
        <color rgb="FFFF0000"/>
        <rFont val="Aptos Narrow"/>
        <family val="2"/>
        <scheme val="minor"/>
      </rPr>
      <t>Cột T</t>
    </r>
  </si>
  <si>
    <t>Nếu cột S =0, thì cột T =Cột R/P</t>
  </si>
  <si>
    <t>Nếu cột S có giá trị, thì cột T=Cột S/P</t>
  </si>
  <si>
    <t>Rule update Remark</t>
  </si>
  <si>
    <t>1./ Nếu % allocated vải từ 100% trở lên+Đồng bộ các Fabric type =&gt; Update "OK" trên cột "Fabric" trong Material status</t>
  </si>
  <si>
    <t>Update vào Material status</t>
  </si>
  <si>
    <t>2./ Nếu % Allocated vải nhỏ hơn 100% và không đồng bộ các Fabric Type =&gt; Update "TBA" trên cột "Fabric" và link phần Remark diễn giải vào cột "AH remark" trên file Material status</t>
  </si>
  <si>
    <t xml:space="preserve">=&gt; Format update như sau: </t>
  </si>
  <si>
    <t>- Liệt kê rõ code vải nào (B/R/M) đã OK hoặc đã về bao nhiêu % vải: Tự Auto check trong phần Allocated vải (cột R)</t>
  </si>
  <si>
    <t>- Adding thêm phần diễn giải (AH tự update trong phần remark trong file COI) =&gt; Chủ yếu liên quan đến adv ngày vải về trễ nhất</t>
  </si>
  <si>
    <t>Ví dụ: Vải chưa đồng bộ thì cần update như sau:</t>
  </si>
  <si>
    <t>Code B/R: 100%, code M1 est ETA 4/10</t>
  </si>
  <si>
    <t>Ví dụ: Vải đã đồng bộ (tất cả các code từ 100% trở lên)</t>
  </si>
  <si>
    <t>OK</t>
  </si>
  <si>
    <r>
      <t xml:space="preserve">Cột Auto-fill? 
Nguồn A: BRAND ✅ =&gt; </t>
    </r>
    <r>
      <rPr>
        <b/>
        <sz val="11"/>
        <color rgb="FFFF0000"/>
        <rFont val="Aptos Narrow"/>
        <family val="2"/>
        <scheme val="minor"/>
      </rPr>
      <t>Từ GO có thể lấy được Brand</t>
    </r>
    <r>
      <rPr>
        <sz val="11"/>
        <color theme="1"/>
        <rFont val="Aptos Narrow"/>
        <family val="2"/>
        <scheme val="minor"/>
      </rPr>
      <t xml:space="preserve">
User nhập B: GO# ✅ =&gt; Yes
User nhập C: PPO ✅  =&gt; Yes
GO Report → PPO mapping D: Type (B/R/M) ✅ =&gt; Yes
PPO Report E: COLOR_CODE ✅ =&gt; Yes
GO Report F: COLOR_DESC ✅ =&gt; Yes
GO Report G: FABRIC COLOR ✅ =&gt; Yes
PPO Report → COMBO_NAME H: JOB ORDER NO ✅ =&gt;</t>
    </r>
    <r>
      <rPr>
        <b/>
        <sz val="11"/>
        <color rgb="FFFF0000"/>
        <rFont val="Aptos Narrow"/>
        <family val="2"/>
        <scheme val="minor"/>
      </rPr>
      <t xml:space="preserve"> Lấy source từ GO</t>
    </r>
    <r>
      <rPr>
        <sz val="11"/>
        <color theme="1"/>
        <rFont val="Aptos Narrow"/>
        <family val="2"/>
        <scheme val="minor"/>
      </rPr>
      <t xml:space="preserve">
GO Report I: -% ✅ =&gt; Yes 
GO Report J: +% ✅ =&gt; yes
GO Report K: Qty (pcs) ✅ =&gt; yes
GO Report L: BUYER_PO_DEL_DATE ✅=&gt; yes 
GO Report M: Marker YY ✅ =&gt; yes
PPO Report (Marker) N: PPO YY ✅ =&gt; yes 
PPO Report O: Actual YY# ✅ =&gt; </t>
    </r>
    <r>
      <rPr>
        <b/>
        <sz val="11"/>
        <color rgb="FFFF0000"/>
        <rFont val="Aptos Narrow"/>
        <family val="2"/>
        <scheme val="minor"/>
      </rPr>
      <t>Lấy trên Cutting Forecast ở MEAS</t>
    </r>
    <r>
      <rPr>
        <sz val="11"/>
        <color theme="1"/>
        <rFont val="Aptos Narrow"/>
        <family val="2"/>
        <scheme val="minor"/>
      </rPr>
      <t xml:space="preserve">
MEAS hoặc calculation P: Required Q'ty ✅ = K × O Q: Rcv Q'ty (PPO) ✅ 
PPO Shipment status R: Allocate Q'ty ✅ 
Auto-allocate engine S: AH Allocate ✏️ AH nhập tay trên UI T: Allocate % ✅ = S/P hoặc R/P U: Remark ✅ → ✏️ Auto-gen, AH có thể edit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</si>
</sst>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theme="9"/>
      </patternFill>
    </fill>
    <fill>
      <patternFill patternType="solid">
        <fgColor theme="8" tint="0.39997558519241921"/>
        <bgColor theme="9" tint="0.79998168889431442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9" fontId="2" fillId="2" borderId="2" xfId="2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2" xfId="0" applyFill="1" applyBorder="1"/>
    <xf numFmtId="0" fontId="0" fillId="0" borderId="1" xfId="0" applyBorder="1"/>
    <xf numFmtId="0" fontId="0" fillId="0" borderId="2" xfId="0" applyBorder="1"/>
    <xf numFmtId="0" fontId="0" fillId="6" borderId="2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14" fontId="0" fillId="5" borderId="2" xfId="0" applyNumberFormat="1" applyFill="1" applyBorder="1"/>
    <xf numFmtId="14" fontId="0" fillId="0" borderId="2" xfId="0" applyNumberFormat="1" applyBorder="1"/>
    <xf numFmtId="0" fontId="0" fillId="5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164" fontId="0" fillId="0" borderId="0" xfId="1" applyNumberFormat="1" applyFont="1"/>
    <xf numFmtId="164" fontId="0" fillId="5" borderId="2" xfId="1" applyNumberFormat="1" applyFont="1" applyFill="1" applyBorder="1"/>
    <xf numFmtId="164" fontId="0" fillId="0" borderId="2" xfId="1" applyNumberFormat="1" applyFont="1" applyBorder="1"/>
    <xf numFmtId="9" fontId="0" fillId="0" borderId="0" xfId="2" applyFont="1"/>
    <xf numFmtId="0" fontId="0" fillId="3" borderId="0" xfId="0" applyFill="1"/>
    <xf numFmtId="0" fontId="0" fillId="0" borderId="0" xfId="0" quotePrefix="1"/>
    <xf numFmtId="0" fontId="0" fillId="5" borderId="0" xfId="0" applyFill="1"/>
    <xf numFmtId="164" fontId="2" fillId="7" borderId="2" xfId="1" applyNumberFormat="1" applyFont="1" applyFill="1" applyBorder="1" applyAlignment="1">
      <alignment horizontal="center" vertical="center" wrapText="1"/>
    </xf>
    <xf numFmtId="164" fontId="0" fillId="8" borderId="0" xfId="1" applyNumberFormat="1" applyFont="1" applyFill="1" applyBorder="1"/>
    <xf numFmtId="164" fontId="0" fillId="9" borderId="0" xfId="1" applyNumberFormat="1" applyFont="1" applyFill="1" applyBorder="1"/>
    <xf numFmtId="0" fontId="0" fillId="0" borderId="0" xfId="0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323557</xdr:colOff>
      <xdr:row>0</xdr:row>
      <xdr:rowOff>0</xdr:rowOff>
    </xdr:from>
    <xdr:to>
      <xdr:col>7</xdr:col>
      <xdr:colOff>20113</xdr:colOff>
      <xdr:row>0</xdr:row>
      <xdr:rowOff>2857899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D4A360-51E6-4295-A79F-D8094B876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3865" y="0"/>
          <a:ext cx="3410426" cy="2857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1790701</xdr:colOff>
      <xdr:row>0</xdr:row>
      <xdr:rowOff>0</xdr:rowOff>
    </xdr:from>
    <xdr:to>
      <xdr:col>15</xdr:col>
      <xdr:colOff>9887</xdr:colOff>
      <xdr:row>1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0AAC74-F474-8454-084C-C578D140A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1" y="0"/>
          <a:ext cx="12640036" cy="12287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kki Nhi, Tran Phuong /TDV/PPC" id="{F0D3DFAE-BD54-4201-B233-A4DE6A226A3E}" userId="S::Nikki.Tran@esquel.com::7d3b9593-225c-4725-b397-4d6eaf01a45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3-24T10:09:12.17" personId="{F0D3DFAE-BD54-4201-B233-A4DE6A226A3E}" id="{E9F5AACA-0235-4D2F-A7BB-A69835B3CD88}">
    <text>Lấy trong PPO</text>
  </threadedComment>
  <threadedComment ref="G3" dT="2026-03-24T09:53:22.82" personId="{F0D3DFAE-BD54-4201-B233-A4DE6A226A3E}" id="{2B1A519E-6CC0-4493-9AC3-BF50EA595E55}">
    <text>Tên màu vải (source có trên GO phần Fabric BOM) =&gt; Check hình</text>
  </threadedComment>
  <threadedComment ref="I3" dT="2026-03-24T10:12:51.87" personId="{F0D3DFAE-BD54-4201-B233-A4DE6A226A3E}" id="{CB4FD48D-FDE0-4DE8-936D-74B14DBAD96A}">
    <text>Lấy trong GO. Mục đích là để chia vải tự động, cộng thêm % vải khi allocated</text>
  </threadedComment>
  <threadedComment ref="M3" dT="2026-03-24T10:14:54.77" personId="{F0D3DFAE-BD54-4201-B233-A4DE6A226A3E}" id="{D7130DF0-B178-4D07-8D14-E76676AD5B5C}">
    <text>Lấy trong GO</text>
  </threadedComment>
  <threadedComment ref="N3" dT="2026-03-24T10:15:00.18" personId="{F0D3DFAE-BD54-4201-B233-A4DE6A226A3E}" id="{32E37517-063B-4BBF-B443-5DABCCD6C67E}">
    <text>Lấy trong GO</text>
  </threadedComment>
  <threadedComment ref="O3" dT="2026-03-24T10:46:03.70" personId="{F0D3DFAE-BD54-4201-B233-A4DE6A226A3E}" id="{B66825D0-D166-4877-973A-4822596ED3F7}">
    <text>Lấy trên Cutting Forecast MEAS</text>
  </threadedComment>
  <threadedComment ref="Q3" dT="2026-03-24T10:17:42.36" personId="{F0D3DFAE-BD54-4201-B233-A4DE6A226A3E}" id="{BE65A45B-51CD-48C8-A840-F593D7FB844B}">
    <text>Lấy số lượng vải nhập kho. (Lấy trong kho/hoặc lấy từ source GAK,…)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EE56-A202-4725-9E74-4017EB3E1BFB}">
  <dimension ref="A1"/>
  <sheetViews>
    <sheetView workbookViewId="0">
      <selection sqref="A1:H1"/>
    </sheetView>
  </sheetViews>
  <sheetFormatPr defaultRowHeight="14.4" x14ac:dyDescent="0.3"/>
  <cols>
    <col min="1" max="1" width="60" customWidth="1"/>
  </cols>
  <sheetData>
    <row r="1" spans="1:1" ht="300.75" customHeight="1" x14ac:dyDescent="0.3">
      <c r="A1" s="27" t="s">
        <v>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0EC9-1295-4FF7-8081-137FA544540E}">
  <dimension ref="A1:U32"/>
  <sheetViews>
    <sheetView tabSelected="1" topLeftCell="B2" zoomScaleNormal="100" workbookViewId="0">
      <selection activeCell="G19" sqref="G19"/>
    </sheetView>
  </sheetViews>
  <sheetFormatPr defaultRowHeight="14.4" x14ac:dyDescent="0.3"/>
  <cols>
    <col min="1" max="1" width="43.8984375" customWidth="1"/>
    <col min="2" max="2" width="17" customWidth="1"/>
    <col min="3" max="3" width="21.296875" customWidth="1"/>
    <col min="4" max="4" width="8.69921875" customWidth="1"/>
    <col min="5" max="5" width="4.8984375" customWidth="1"/>
    <col min="6" max="6" width="16.3984375" customWidth="1"/>
    <col min="7" max="7" width="19.296875" customWidth="1"/>
    <col min="8" max="8" width="18.8984375" customWidth="1"/>
    <col min="9" max="9" width="9.09765625" customWidth="1"/>
    <col min="10" max="10" width="5" customWidth="1"/>
    <col min="11" max="11" width="11" customWidth="1"/>
    <col min="12" max="12" width="13.3984375" customWidth="1"/>
    <col min="16" max="16" width="9.09765625" bestFit="1" customWidth="1"/>
    <col min="17" max="17" width="10.09765625" bestFit="1" customWidth="1"/>
    <col min="18" max="19" width="11" customWidth="1"/>
    <col min="21" max="21" width="18.59765625" customWidth="1"/>
  </cols>
  <sheetData>
    <row r="1" spans="1:21" ht="92.5" customHeight="1" x14ac:dyDescent="0.3">
      <c r="G1" s="11"/>
    </row>
    <row r="2" spans="1:21" ht="57.6" x14ac:dyDescent="0.3">
      <c r="A2" s="1" t="s">
        <v>0</v>
      </c>
      <c r="B2" s="1" t="s">
        <v>1</v>
      </c>
      <c r="C2" s="3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4" t="s">
        <v>16</v>
      </c>
      <c r="R2" s="4" t="s">
        <v>17</v>
      </c>
      <c r="S2" s="24" t="s">
        <v>18</v>
      </c>
      <c r="T2" s="5" t="s">
        <v>19</v>
      </c>
      <c r="U2" s="4" t="s">
        <v>20</v>
      </c>
    </row>
    <row r="3" spans="1:21" x14ac:dyDescent="0.3">
      <c r="A3" t="s">
        <v>21</v>
      </c>
      <c r="B3" t="s">
        <v>22</v>
      </c>
      <c r="C3" s="12" t="s">
        <v>23</v>
      </c>
      <c r="D3" s="6" t="s">
        <v>24</v>
      </c>
      <c r="E3" s="7" t="s">
        <v>25</v>
      </c>
      <c r="F3" s="7" t="s">
        <v>26</v>
      </c>
      <c r="G3" s="7" t="s">
        <v>26</v>
      </c>
      <c r="H3" s="7" t="s">
        <v>27</v>
      </c>
      <c r="I3" s="7">
        <v>2</v>
      </c>
      <c r="J3">
        <v>2</v>
      </c>
      <c r="K3" s="18">
        <v>160</v>
      </c>
      <c r="L3" s="13">
        <v>45981</v>
      </c>
      <c r="M3" s="15">
        <v>0.74299999999999999</v>
      </c>
      <c r="N3" s="7">
        <v>0.75280000000000002</v>
      </c>
      <c r="O3" s="23">
        <v>0.74890000000000001</v>
      </c>
      <c r="P3" s="17">
        <f t="shared" ref="P3:P8" si="0">N3*K3</f>
        <v>120.44800000000001</v>
      </c>
      <c r="Q3" s="18">
        <v>11507</v>
      </c>
      <c r="R3" s="17">
        <v>122.85696000000002</v>
      </c>
      <c r="S3" s="25">
        <v>150</v>
      </c>
      <c r="T3" s="20">
        <f>R3/P3</f>
        <v>1.02</v>
      </c>
      <c r="U3" s="21"/>
    </row>
    <row r="4" spans="1:21" ht="14.15" customHeight="1" x14ac:dyDescent="0.3">
      <c r="A4" t="s">
        <v>21</v>
      </c>
      <c r="B4" t="s">
        <v>22</v>
      </c>
      <c r="C4" s="12" t="s">
        <v>28</v>
      </c>
      <c r="D4" s="8" t="s">
        <v>24</v>
      </c>
      <c r="E4" s="9" t="s">
        <v>25</v>
      </c>
      <c r="F4" s="9" t="s">
        <v>26</v>
      </c>
      <c r="G4" s="9" t="s">
        <v>26</v>
      </c>
      <c r="H4" s="10" t="s">
        <v>29</v>
      </c>
      <c r="I4" s="7">
        <v>2</v>
      </c>
      <c r="J4">
        <v>2</v>
      </c>
      <c r="K4" s="19">
        <v>2500</v>
      </c>
      <c r="L4" s="14">
        <v>45992</v>
      </c>
      <c r="M4" s="16">
        <v>0.74299999999999999</v>
      </c>
      <c r="N4" s="9">
        <v>0.75280000000000002</v>
      </c>
      <c r="O4" s="23">
        <v>0.74890000000000001</v>
      </c>
      <c r="P4" s="17">
        <f t="shared" si="0"/>
        <v>1882</v>
      </c>
      <c r="Q4" s="19">
        <v>11507</v>
      </c>
      <c r="R4" s="17">
        <v>1919.64</v>
      </c>
      <c r="S4" s="26">
        <v>1940</v>
      </c>
      <c r="T4" s="20">
        <f t="shared" ref="T4:T8" si="1">R4/P4</f>
        <v>1.02</v>
      </c>
      <c r="U4" s="21"/>
    </row>
    <row r="5" spans="1:21" x14ac:dyDescent="0.3">
      <c r="A5" t="s">
        <v>21</v>
      </c>
      <c r="B5" t="s">
        <v>22</v>
      </c>
      <c r="C5" s="12" t="s">
        <v>28</v>
      </c>
      <c r="D5" s="6" t="s">
        <v>24</v>
      </c>
      <c r="E5" s="7" t="s">
        <v>25</v>
      </c>
      <c r="F5" s="7" t="s">
        <v>26</v>
      </c>
      <c r="G5" s="7" t="s">
        <v>26</v>
      </c>
      <c r="H5" s="7" t="s">
        <v>30</v>
      </c>
      <c r="I5" s="7">
        <v>2</v>
      </c>
      <c r="J5">
        <v>2</v>
      </c>
      <c r="K5" s="18">
        <v>55</v>
      </c>
      <c r="L5" s="13">
        <v>46002</v>
      </c>
      <c r="M5" s="15">
        <v>0.74299999999999999</v>
      </c>
      <c r="N5" s="7">
        <v>0.75280000000000002</v>
      </c>
      <c r="O5" s="23">
        <v>0.74890000000000001</v>
      </c>
      <c r="P5" s="17">
        <f t="shared" si="0"/>
        <v>41.404000000000003</v>
      </c>
      <c r="Q5" s="18">
        <v>11507</v>
      </c>
      <c r="R5" s="17">
        <v>230.35680000000002</v>
      </c>
      <c r="S5" s="25">
        <v>220</v>
      </c>
      <c r="T5" s="20">
        <f t="shared" si="1"/>
        <v>5.5636363636363635</v>
      </c>
      <c r="U5" s="21"/>
    </row>
    <row r="6" spans="1:21" x14ac:dyDescent="0.3">
      <c r="A6" t="s">
        <v>21</v>
      </c>
      <c r="B6" t="s">
        <v>22</v>
      </c>
      <c r="C6" s="12" t="s">
        <v>28</v>
      </c>
      <c r="D6" s="8" t="s">
        <v>24</v>
      </c>
      <c r="E6" s="9" t="s">
        <v>25</v>
      </c>
      <c r="F6" s="9" t="s">
        <v>26</v>
      </c>
      <c r="G6" s="9" t="s">
        <v>26</v>
      </c>
      <c r="H6" s="9" t="s">
        <v>31</v>
      </c>
      <c r="I6" s="7">
        <v>2</v>
      </c>
      <c r="J6">
        <v>2</v>
      </c>
      <c r="K6" s="19">
        <v>1167</v>
      </c>
      <c r="L6" s="14">
        <v>46002</v>
      </c>
      <c r="M6" s="16">
        <v>0.74299999999999999</v>
      </c>
      <c r="N6" s="9">
        <v>0.75280000000000002</v>
      </c>
      <c r="O6" s="23">
        <v>0.74890000000000001</v>
      </c>
      <c r="P6" s="17">
        <f t="shared" si="0"/>
        <v>878.51760000000002</v>
      </c>
      <c r="Q6" s="19">
        <v>11507</v>
      </c>
      <c r="R6" s="17">
        <v>42.232080000000003</v>
      </c>
      <c r="S6" s="26">
        <v>40</v>
      </c>
      <c r="T6" s="20">
        <f t="shared" si="1"/>
        <v>4.8071979434447305E-2</v>
      </c>
      <c r="U6" s="21" t="s">
        <v>32</v>
      </c>
    </row>
    <row r="7" spans="1:21" x14ac:dyDescent="0.3">
      <c r="A7" t="s">
        <v>21</v>
      </c>
      <c r="B7" t="s">
        <v>22</v>
      </c>
      <c r="C7" s="12" t="s">
        <v>28</v>
      </c>
      <c r="D7" t="s">
        <v>24</v>
      </c>
      <c r="E7" t="s">
        <v>25</v>
      </c>
      <c r="F7" t="s">
        <v>26</v>
      </c>
      <c r="G7" t="s">
        <v>26</v>
      </c>
      <c r="H7" t="s">
        <v>33</v>
      </c>
      <c r="I7" s="7">
        <v>2</v>
      </c>
      <c r="J7">
        <v>2</v>
      </c>
      <c r="K7" s="19">
        <v>1167</v>
      </c>
      <c r="L7" s="14">
        <v>46002</v>
      </c>
      <c r="M7" s="15">
        <v>0.74299999999999999</v>
      </c>
      <c r="N7" s="7">
        <v>0.75280000000000002</v>
      </c>
      <c r="O7" s="23">
        <v>0.74890000000000001</v>
      </c>
      <c r="P7" s="17">
        <f t="shared" si="0"/>
        <v>878.51760000000002</v>
      </c>
      <c r="Q7" s="18">
        <v>11507</v>
      </c>
      <c r="R7" s="17">
        <v>896.08795200000009</v>
      </c>
      <c r="S7" s="25">
        <v>898</v>
      </c>
      <c r="T7" s="20">
        <f t="shared" si="1"/>
        <v>1.02</v>
      </c>
      <c r="U7" s="21"/>
    </row>
    <row r="8" spans="1:21" x14ac:dyDescent="0.3">
      <c r="A8" t="s">
        <v>21</v>
      </c>
      <c r="B8" t="s">
        <v>22</v>
      </c>
      <c r="C8" s="12" t="s">
        <v>28</v>
      </c>
      <c r="D8" t="s">
        <v>24</v>
      </c>
      <c r="E8" t="s">
        <v>25</v>
      </c>
      <c r="F8" t="s">
        <v>26</v>
      </c>
      <c r="G8" t="s">
        <v>26</v>
      </c>
      <c r="H8" t="s">
        <v>34</v>
      </c>
      <c r="I8" s="7">
        <v>2</v>
      </c>
      <c r="J8">
        <v>2</v>
      </c>
      <c r="K8" s="19">
        <v>1167</v>
      </c>
      <c r="L8" s="14">
        <v>46002</v>
      </c>
      <c r="M8" s="16">
        <v>0.74299999999999999</v>
      </c>
      <c r="N8" s="9">
        <v>0.75280000000000002</v>
      </c>
      <c r="O8" s="23">
        <v>0.74890000000000001</v>
      </c>
      <c r="P8" s="17">
        <f t="shared" si="0"/>
        <v>878.51760000000002</v>
      </c>
      <c r="Q8" s="19">
        <v>11507</v>
      </c>
      <c r="R8" s="17">
        <v>284.10672</v>
      </c>
      <c r="S8" s="26">
        <v>284</v>
      </c>
      <c r="T8" s="20">
        <f t="shared" si="1"/>
        <v>0.32339331619537276</v>
      </c>
      <c r="U8" s="21"/>
    </row>
    <row r="12" spans="1:21" x14ac:dyDescent="0.3">
      <c r="A12" s="21" t="s">
        <v>35</v>
      </c>
      <c r="B12" t="s">
        <v>36</v>
      </c>
    </row>
    <row r="13" spans="1:21" x14ac:dyDescent="0.3">
      <c r="A13" t="s">
        <v>37</v>
      </c>
      <c r="B13" t="s">
        <v>38</v>
      </c>
    </row>
    <row r="14" spans="1:21" x14ac:dyDescent="0.3">
      <c r="B14" t="s">
        <v>39</v>
      </c>
    </row>
    <row r="16" spans="1:21" x14ac:dyDescent="0.3">
      <c r="A16" s="21" t="s">
        <v>40</v>
      </c>
      <c r="B16" t="s">
        <v>41</v>
      </c>
    </row>
    <row r="17" spans="1:4" x14ac:dyDescent="0.3">
      <c r="A17" t="s">
        <v>42</v>
      </c>
      <c r="B17" t="s">
        <v>43</v>
      </c>
    </row>
    <row r="18" spans="1:4" x14ac:dyDescent="0.3">
      <c r="A18" t="s">
        <v>44</v>
      </c>
    </row>
    <row r="20" spans="1:4" x14ac:dyDescent="0.3">
      <c r="A20" s="21" t="s">
        <v>45</v>
      </c>
      <c r="B20" t="s">
        <v>46</v>
      </c>
    </row>
    <row r="21" spans="1:4" x14ac:dyDescent="0.3">
      <c r="B21" t="s">
        <v>47</v>
      </c>
    </row>
    <row r="24" spans="1:4" x14ac:dyDescent="0.3">
      <c r="A24" s="21" t="s">
        <v>48</v>
      </c>
      <c r="B24" t="s">
        <v>49</v>
      </c>
    </row>
    <row r="25" spans="1:4" x14ac:dyDescent="0.3">
      <c r="A25" t="s">
        <v>50</v>
      </c>
      <c r="B25" t="s">
        <v>51</v>
      </c>
    </row>
    <row r="26" spans="1:4" x14ac:dyDescent="0.3">
      <c r="B26" s="22" t="s">
        <v>52</v>
      </c>
    </row>
    <row r="27" spans="1:4" x14ac:dyDescent="0.3">
      <c r="B27" s="22" t="s">
        <v>53</v>
      </c>
    </row>
    <row r="28" spans="1:4" x14ac:dyDescent="0.3">
      <c r="B28" s="22" t="s">
        <v>54</v>
      </c>
    </row>
    <row r="29" spans="1:4" x14ac:dyDescent="0.3">
      <c r="B29" t="s">
        <v>55</v>
      </c>
    </row>
    <row r="30" spans="1:4" x14ac:dyDescent="0.3">
      <c r="B30" s="21" t="s">
        <v>56</v>
      </c>
      <c r="C30" s="21"/>
      <c r="D30" s="21"/>
    </row>
    <row r="31" spans="1:4" x14ac:dyDescent="0.3">
      <c r="B31" t="s">
        <v>57</v>
      </c>
    </row>
    <row r="32" spans="1:4" x14ac:dyDescent="0.3">
      <c r="B32" s="21" t="s">
        <v>58</v>
      </c>
      <c r="C32" s="21"/>
      <c r="D32" s="21"/>
    </row>
  </sheetData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065024C5948F41B7C79E630E4C83EC" ma:contentTypeVersion="21" ma:contentTypeDescription="Create a new document." ma:contentTypeScope="" ma:versionID="5c487c3d3549392680dc0ab4db5678e1">
  <xsd:schema xmlns:xsd="http://www.w3.org/2001/XMLSchema" xmlns:xs="http://www.w3.org/2001/XMLSchema" xmlns:p="http://schemas.microsoft.com/office/2006/metadata/properties" xmlns:ns2="df8dd51b-1414-4df2-bbfb-6794ef6b6c75" xmlns:ns3="0a83a5ce-f214-4b59-bf29-8ef380291180" xmlns:ns4="7441d7c8-c461-42d8-939f-bee33a17aa6c" targetNamespace="http://schemas.microsoft.com/office/2006/metadata/properties" ma:root="true" ma:fieldsID="9fecb987d0867494c65604f012af86fe" ns2:_="" ns3:_="" ns4:_="">
    <xsd:import namespace="df8dd51b-1414-4df2-bbfb-6794ef6b6c75"/>
    <xsd:import namespace="0a83a5ce-f214-4b59-bf29-8ef380291180"/>
    <xsd:import namespace="7441d7c8-c461-42d8-939f-bee33a17aa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_Flow_SignoffStatus" minOccurs="0"/>
                <xsd:element ref="ns2:IsProcess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dd51b-1414-4df2-bbfb-6794ef6b6c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45de75a-3b52-444c-81e6-f5fd83527d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6" nillable="true" ma:displayName="Sign-off status" ma:internalName="_x0024_Resources_x003a_core_x002c_Signoff_Status">
      <xsd:simpleType>
        <xsd:restriction base="dms:Text"/>
      </xsd:simpleType>
    </xsd:element>
    <xsd:element name="IsProcessed" ma:index="27" nillable="true" ma:displayName="IsProcessed" ma:default="1" ma:format="Dropdown" ma:internalName="IsProcess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83a5ce-f214-4b59-bf29-8ef380291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1d7c8-c461-42d8-939f-bee33a17aa6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d9688e6-d905-47fa-8c82-6a986ae4eb14}" ma:internalName="TaxCatchAll" ma:showField="CatchAllData" ma:web="0a83a5ce-f214-4b59-bf29-8ef380291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8dd51b-1414-4df2-bbfb-6794ef6b6c75" xsi:nil="true"/>
    <lcf76f155ced4ddcb4097134ff3c332f xmlns="df8dd51b-1414-4df2-bbfb-6794ef6b6c75">
      <Terms xmlns="http://schemas.microsoft.com/office/infopath/2007/PartnerControls"/>
    </lcf76f155ced4ddcb4097134ff3c332f>
    <IsProcessed xmlns="df8dd51b-1414-4df2-bbfb-6794ef6b6c75">true</IsProcessed>
    <TaxCatchAll xmlns="7441d7c8-c461-42d8-939f-bee33a17aa6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AEE6DD-B0C5-43C2-9AB7-57171FFA8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8dd51b-1414-4df2-bbfb-6794ef6b6c75"/>
    <ds:schemaRef ds:uri="0a83a5ce-f214-4b59-bf29-8ef380291180"/>
    <ds:schemaRef ds:uri="7441d7c8-c461-42d8-939f-bee33a17aa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20F3C4-553E-48C6-82BB-AB724C0263DE}">
  <ds:schemaRefs>
    <ds:schemaRef ds:uri="http://www.w3.org/XML/1998/namespace"/>
    <ds:schemaRef ds:uri="http://schemas.microsoft.com/office/2006/documentManagement/types"/>
    <ds:schemaRef ds:uri="df8dd51b-1414-4df2-bbfb-6794ef6b6c75"/>
    <ds:schemaRef ds:uri="http://purl.org/dc/elements/1.1/"/>
    <ds:schemaRef ds:uri="7441d7c8-c461-42d8-939f-bee33a17aa6c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0a83a5ce-f214-4b59-bf29-8ef380291180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3DB1690-B640-4713-8EC6-755464CE67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 1</vt:lpstr>
      <vt:lpstr>Diễn giải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Nhi, Tran Phuong /TDV/PPC</dc:creator>
  <cp:keywords/>
  <dc:description/>
  <cp:lastModifiedBy>Kalynn Han, Nguyen Thi Ngoc /TDV/PPC</cp:lastModifiedBy>
  <cp:revision/>
  <dcterms:created xsi:type="dcterms:W3CDTF">2026-03-24T08:51:30Z</dcterms:created>
  <dcterms:modified xsi:type="dcterms:W3CDTF">2026-03-25T07:55:08Z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0x010100FF065024C5948F41B7C79E630E4C83EC</vt:lpwstr>
  </property>
  <property fmtid="{D5CDD505-2E9C-101B-9397-08002B2CF9AE}" pid="3" name="MediaServiceImageTags">
    <vt:lpwstr/>
  </property>
</Properties>
</file>